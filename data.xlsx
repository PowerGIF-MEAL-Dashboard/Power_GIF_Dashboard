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FB8164B5-FD6E-4225-9E82-EF1F144232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W TO USE" sheetId="1" r:id="rId1"/>
    <sheet name="KPIs" sheetId="2" r:id="rId2"/>
    <sheet name="Outcomes" sheetId="3" r:id="rId3"/>
    <sheet name="Activities" sheetId="4" r:id="rId4"/>
    <sheet name="Risks" sheetId="5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4" l="1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</calcChain>
</file>

<file path=xl/sharedStrings.xml><?xml version="1.0" encoding="utf-8"?>
<sst xmlns="http://schemas.openxmlformats.org/spreadsheetml/2006/main" count="208" uniqueCount="134">
  <si>
    <t>POWER-GIF MEAL Dashboard — Excel Data File</t>
  </si>
  <si>
    <t>PURPOSE</t>
  </si>
  <si>
    <t>This file feeds data directly into the POWER-GIF MEAL Dashboard HTML file.</t>
  </si>
  <si>
    <t>Update data here → load file into dashboard → it refreshes instantly.</t>
  </si>
  <si>
    <t>SHEETS</t>
  </si>
  <si>
    <t>KPIs        — Key performance indicators (current vs target)</t>
  </si>
  <si>
    <t>Outcomes    — Outcome-level indicator tracking</t>
  </si>
  <si>
    <t>Activities  — Activity / output progress (0–100 %)</t>
  </si>
  <si>
    <t>Risks       — Risk register with mitigation &amp; level</t>
  </si>
  <si>
    <t>HOW TO UPDATE</t>
  </si>
  <si>
    <t>1.  Open this Excel file and go to the relevant sheet</t>
  </si>
  <si>
    <t>2.  Add or edit data starting from Row 4</t>
  </si>
  <si>
    <t>3.  Save the file  (Ctrl + S)</t>
  </si>
  <si>
    <t>4.  Open the MEAL Dashboard in your browser</t>
  </si>
  <si>
    <t>5.  Click the green  "Load from Excel"  button</t>
  </si>
  <si>
    <t>6.  Select this file — dashboard updates immediately</t>
  </si>
  <si>
    <t>RULES</t>
  </si>
  <si>
    <t>• NEVER rename the sheet tabs</t>
  </si>
  <si>
    <t>• NEVER move or edit rows 1–3 (title, headers, hint)</t>
  </si>
  <si>
    <t>• Data always starts at Row 4</t>
  </si>
  <si>
    <t>• Status must be exactly:  On Track | Needs Attention | Delayed | Not Started</t>
  </si>
  <si>
    <t>• Risk Level must be exactly:  High | Medium | Low</t>
  </si>
  <si>
    <t>• Colour must be exactly:  green | amber | red | blue</t>
  </si>
  <si>
    <t>• Completion % must be a number 0–100</t>
  </si>
  <si>
    <t>POWER-GIF MEAL — KPI Data</t>
  </si>
  <si>
    <t>KPI Label / Title</t>
  </si>
  <si>
    <t>Current Value</t>
  </si>
  <si>
    <t>Target Value</t>
  </si>
  <si>
    <t>Unit (optional)</t>
  </si>
  <si>
    <t>Colour (green/amber/red/blue)</t>
  </si>
  <si>
    <t>Notes</t>
  </si>
  <si>
    <t>Data starts here ↓   Do NOT edit rows 1–2</t>
  </si>
  <si>
    <t>industries</t>
  </si>
  <si>
    <t>MW</t>
  </si>
  <si>
    <t>POWER-GIF MEAL — Outcome Indicators</t>
  </si>
  <si>
    <t>Outcome Area</t>
  </si>
  <si>
    <t>Indicator Description</t>
  </si>
  <si>
    <t>Baseline</t>
  </si>
  <si>
    <t>Status</t>
  </si>
  <si>
    <t>Data starts here ↓   Status dropdown: On Track | Needs Attention | Delayed | Not Started</t>
  </si>
  <si>
    <t>POWER-GIF MEAL — Activity Progress</t>
  </si>
  <si>
    <t>Activity Name</t>
  </si>
  <si>
    <t>Location</t>
  </si>
  <si>
    <t>Lead Partner / Person</t>
  </si>
  <si>
    <t>Completion % (0–100)</t>
  </si>
  <si>
    <t>Data starts here ↓   Completion % must be a number 0–100</t>
  </si>
  <si>
    <t>POWER-GIF MEAL — Risk &amp; Accountability Tracker</t>
  </si>
  <si>
    <t>Risk Description</t>
  </si>
  <si>
    <t>Mitigation Measure</t>
  </si>
  <si>
    <t>Risk Level (High/Medium/Low)</t>
  </si>
  <si>
    <t>Responsible Party</t>
  </si>
  <si>
    <t>Data starts here ↓   Risk Level dropdown: High | Medium | Low</t>
  </si>
  <si>
    <t>On Track</t>
  </si>
  <si>
    <t>Not Started</t>
  </si>
  <si>
    <t>red</t>
  </si>
  <si>
    <t>Surplus electricity consumption</t>
  </si>
  <si>
    <t>GWH</t>
  </si>
  <si>
    <t>Feasibility Study of RE Projects</t>
  </si>
  <si>
    <t>Industries Adopting EE technologies</t>
  </si>
  <si>
    <t xml:space="preserve">Fossil Fuel Reduction </t>
  </si>
  <si>
    <t>KL</t>
  </si>
  <si>
    <t>GHG reduction ( CO2 e)</t>
  </si>
  <si>
    <t>tonnes</t>
  </si>
  <si>
    <t>% decrease in energy intensity per unit production</t>
  </si>
  <si>
    <t>Green jobs creation</t>
  </si>
  <si>
    <t>Multi sector innovation and finance platform</t>
  </si>
  <si>
    <t>Digital Transformation</t>
  </si>
  <si>
    <t>PLC</t>
  </si>
  <si>
    <t>BFI mobilising green funds</t>
  </si>
  <si>
    <t>projects</t>
  </si>
  <si>
    <t>Nepalese Skill enhancement</t>
  </si>
  <si>
    <t>people</t>
  </si>
  <si>
    <t>CES</t>
  </si>
  <si>
    <t>CNI</t>
  </si>
  <si>
    <t>AG</t>
  </si>
  <si>
    <t>CRT</t>
  </si>
  <si>
    <t>NEA</t>
  </si>
  <si>
    <t>Birgunj Simara corridor</t>
  </si>
  <si>
    <t>SEZ Birgunj</t>
  </si>
  <si>
    <t>Lalitpur</t>
  </si>
  <si>
    <t>Kathmandu</t>
  </si>
  <si>
    <t>1.1 Conduct Energy Transition Readiness assessment and develop a simulation based industrial energy transition roadmap in Birgunj Simara Industrial Corridor</t>
  </si>
  <si>
    <t>1.2 Identify and evaluate sector specific fuel switching and clean energy pathways through baseliness assessment of the industrial sectors</t>
  </si>
  <si>
    <t>1.3 Conduct Gender Responsive policy mapping and gap analysis of key strategic documents related to industries</t>
  </si>
  <si>
    <t>1.4 Develop concept note for policy and regulatory support for digital transformation and industrial productivity</t>
  </si>
  <si>
    <t>1.5 Develop concept note for policy and regulatory support for Clean and Green Energy Solutions Financing</t>
  </si>
  <si>
    <t>1.6 Conduct assessment of sustainable practices in Simara SEZ</t>
  </si>
  <si>
    <t>1.7 Prepare the actionable recommendations to support inclusive Policy development for green industrial policy and fuel switching strategies</t>
  </si>
  <si>
    <t>2.1 Identify Viable and clean energy and energy efficient solutions</t>
  </si>
  <si>
    <t>2.2 Deploy pilot demonstration projects featuring optimal clean energy technologies</t>
  </si>
  <si>
    <t xml:space="preserve">2.3 Conduct gender responsive energy transition campaigns </t>
  </si>
  <si>
    <t>2.4 Facilitate fuelswitching and modernization of MSMEs by matching fund assistance (including mechanization and digitalization)</t>
  </si>
  <si>
    <t>3.1 Awareness Raising and orientation on CETs and Digitalisation</t>
  </si>
  <si>
    <t>3.2 Conduct a capacity needs assessment and deliver targeted training programs on energy auditing and energy management</t>
  </si>
  <si>
    <t>3.3 Support NEA on implementaiton of GESI Strategy 2021</t>
  </si>
  <si>
    <t>3.4 Develop and deliver training modules on GESI responsive workplace policies including decent work practices</t>
  </si>
  <si>
    <t>3.5 Establish and Institutionalise mentorship and peer learning networks</t>
  </si>
  <si>
    <t>3.6 Facilitate in establishing and operationalising a multi actor platform</t>
  </si>
  <si>
    <t>4.1 Develop a digital tool to map industrial energy transition pathways and track the progress</t>
  </si>
  <si>
    <t>4.2 Deployment of advance Programmable Logic Control (PLC)</t>
  </si>
  <si>
    <t>4.3 Development of digital platform for multi sectoral collaboration</t>
  </si>
  <si>
    <t>4.4 Operational Support to Energy Efficiency Learning Management System (EELMS) hosted by CES/IOE/TU</t>
  </si>
  <si>
    <t>5.1 Develop a preparatory design document to pilot smart green, resilient and inclusive grid concept at SimaraBirgunj industrial corridor</t>
  </si>
  <si>
    <t>5.2 Orient on potential financial instrument to uptake deployment of clean energy technology</t>
  </si>
  <si>
    <t>5.3 Stakeholder engagement and ecosystem building</t>
  </si>
  <si>
    <t>5.4 Leverge market based green and innovative financing mechanism</t>
  </si>
  <si>
    <t>5.5 Handholding support on accessing finance to adopt clean technology</t>
  </si>
  <si>
    <t>Industries</t>
  </si>
  <si>
    <t>Industries surveryed/assessed</t>
  </si>
  <si>
    <t>Policy Briefs</t>
  </si>
  <si>
    <t>Reports</t>
  </si>
  <si>
    <t>Clean energy and energy efficiency technologies</t>
  </si>
  <si>
    <t>Technologies</t>
  </si>
  <si>
    <t>Bankable Projects Identified</t>
  </si>
  <si>
    <t>Pilot Demonstration Projects Deployed</t>
  </si>
  <si>
    <t>Digital Platform</t>
  </si>
  <si>
    <t>PLC Deployment</t>
  </si>
  <si>
    <t>BESS and Smart Grid Guideline</t>
  </si>
  <si>
    <t>Projects</t>
  </si>
  <si>
    <t>Participants</t>
  </si>
  <si>
    <t>Application</t>
  </si>
  <si>
    <t xml:space="preserve">Unit </t>
  </si>
  <si>
    <t xml:space="preserve">Report </t>
  </si>
  <si>
    <t xml:space="preserve">GESI, OSH and PSHEA Training </t>
  </si>
  <si>
    <t xml:space="preserve">Technical Training </t>
  </si>
  <si>
    <t>Detailed Energy Assessment</t>
  </si>
  <si>
    <t>Report</t>
  </si>
  <si>
    <t xml:space="preserve">Lesser provision and schemes to green finance targeting CET. </t>
  </si>
  <si>
    <t>High</t>
  </si>
  <si>
    <t>Lack of authorized vendors to implement/ maintain and after sales service of  energy efficient and clean energy technogies.</t>
  </si>
  <si>
    <t xml:space="preserve">Lack of industry readiness for CET adaptation </t>
  </si>
  <si>
    <t>Project Team</t>
  </si>
  <si>
    <t>Rigorous interaction with relevant industries, development and dissemination of targeted communication packages</t>
  </si>
  <si>
    <t xml:space="preserve">Collaboration with like minded projects working under decarbonization of industries.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</si>
</sst>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  <family val="2"/>
    </font>
    <font>
      <b/>
      <sz val="10"/>
      <color rgb="FF1B5E37"/>
      <name val="Arial"/>
      <family val="2"/>
    </font>
    <font>
      <sz val="10"/>
      <color rgb="FF1A1A1A"/>
      <name val="Arial"/>
      <family val="2"/>
    </font>
    <font>
      <b/>
      <sz val="10"/>
      <color rgb="FFFFFFFF"/>
      <name val="Arial"/>
      <family val="2"/>
    </font>
    <font>
      <i/>
      <sz val="9"/>
      <color rgb="FF9E9E9E"/>
      <name val="Arial"/>
      <family val="2"/>
    </font>
    <font>
      <sz val="10"/>
      <color theme="5" tint="-0.249977111117893"/>
      <name val="Times New Roman"/>
      <family val="1"/>
    </font>
    <font>
      <sz val="10"/>
      <color theme="4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1B5E37"/>
      </patternFill>
    </fill>
    <fill>
      <patternFill patternType="solid">
        <fgColor rgb="FFE8F3EC"/>
      </patternFill>
    </fill>
    <fill>
      <patternFill patternType="solid">
        <fgColor rgb="FFFFFFFF"/>
      </patternFill>
    </fill>
    <fill>
      <patternFill patternType="solid">
        <fgColor rgb="FFF7FAF8"/>
      </patternFill>
    </fill>
    <fill>
      <patternFill patternType="solid">
        <fgColor rgb="FFFDF2E6"/>
      </patternFill>
    </fill>
  </fills>
  <borders count="4">
    <border>
      <left/>
      <right/>
      <top/>
      <bottom/>
      <diagonal/>
    </border>
    <border>
      <left/>
      <right/>
      <top style="thin">
        <color rgb="FFC8D8CE"/>
      </top>
      <bottom style="thin">
        <color rgb="FFC8D8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8D8CE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9" fontId="3" fillId="4" borderId="1" xfId="0" applyNumberFormat="1" applyFont="1" applyFill="1" applyBorder="1" applyAlignment="1">
      <alignment horizontal="left" vertical="center" wrapText="1"/>
    </xf>
    <xf numFmtId="2" fontId="3" fillId="4" borderId="1" xfId="0" applyNumberFormat="1" applyFont="1" applyFill="1" applyBorder="1" applyAlignment="1">
      <alignment horizontal="left" vertical="center" wrapText="1"/>
    </xf>
    <xf numFmtId="10" fontId="3" fillId="4" borderId="1" xfId="0" applyNumberFormat="1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5" borderId="3" xfId="0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center" wrapText="1"/>
    </xf>
    <xf numFmtId="2" fontId="3" fillId="5" borderId="2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rtnepal-my.sharepoint.com/personal/shinza_crtnepal_org/Documents/Power%20GIF/MEAL/Workplan/Work%20Plan%20-%20Revi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"/>
      <sheetName val="Summary"/>
      <sheetName val="Revised"/>
      <sheetName val="Plan till August"/>
    </sheetNames>
    <sheetDataSet>
      <sheetData sheetId="0">
        <row r="6">
          <cell r="I6">
            <v>9.375</v>
          </cell>
        </row>
        <row r="17">
          <cell r="I17">
            <v>17.25</v>
          </cell>
        </row>
        <row r="26">
          <cell r="I26">
            <v>6.75</v>
          </cell>
        </row>
        <row r="34">
          <cell r="I34">
            <v>3</v>
          </cell>
        </row>
        <row r="45">
          <cell r="I45">
            <v>6.5</v>
          </cell>
        </row>
        <row r="57">
          <cell r="I57">
            <v>21</v>
          </cell>
        </row>
        <row r="65">
          <cell r="I65">
            <v>3</v>
          </cell>
        </row>
        <row r="75">
          <cell r="I75">
            <v>4</v>
          </cell>
        </row>
        <row r="85">
          <cell r="I85">
            <v>0</v>
          </cell>
        </row>
        <row r="97">
          <cell r="I97">
            <v>20.75</v>
          </cell>
        </row>
        <row r="105">
          <cell r="I105">
            <v>1.25</v>
          </cell>
        </row>
        <row r="118">
          <cell r="I118">
            <v>2</v>
          </cell>
        </row>
        <row r="124">
          <cell r="I124">
            <v>4</v>
          </cell>
        </row>
        <row r="131">
          <cell r="I131">
            <v>10</v>
          </cell>
        </row>
        <row r="133">
          <cell r="I133">
            <v>0</v>
          </cell>
        </row>
        <row r="139">
          <cell r="I139">
            <v>24</v>
          </cell>
        </row>
        <row r="144">
          <cell r="I144">
            <v>20</v>
          </cell>
        </row>
        <row r="150">
          <cell r="I150">
            <v>2</v>
          </cell>
        </row>
        <row r="157">
          <cell r="I157">
            <v>5</v>
          </cell>
        </row>
        <row r="165">
          <cell r="I165">
            <v>0</v>
          </cell>
        </row>
        <row r="175">
          <cell r="I175">
            <v>0.75</v>
          </cell>
        </row>
        <row r="181">
          <cell r="I181">
            <v>17.5</v>
          </cell>
        </row>
        <row r="193">
          <cell r="I193">
            <v>19</v>
          </cell>
        </row>
        <row r="199">
          <cell r="I199">
            <v>22.5</v>
          </cell>
        </row>
        <row r="207">
          <cell r="I207">
            <v>3.5</v>
          </cell>
        </row>
        <row r="215">
          <cell r="I215">
            <v>0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workbookViewId="0">
      <selection sqref="A1:B1"/>
    </sheetView>
  </sheetViews>
  <sheetFormatPr defaultRowHeight="14.4" x14ac:dyDescent="0.3"/>
  <cols>
    <col min="1" max="1" width="22" customWidth="1"/>
    <col min="2" max="2" width="62" customWidth="1"/>
  </cols>
  <sheetData>
    <row r="1" spans="1:2" ht="30" customHeight="1" x14ac:dyDescent="0.3">
      <c r="A1" s="21" t="s">
        <v>0</v>
      </c>
      <c r="B1" s="22"/>
    </row>
    <row r="2" spans="1:2" ht="18" customHeight="1" x14ac:dyDescent="0.3">
      <c r="A2" s="1" t="s">
        <v>1</v>
      </c>
      <c r="B2" s="2" t="s">
        <v>2</v>
      </c>
    </row>
    <row r="3" spans="1:2" ht="18" customHeight="1" x14ac:dyDescent="0.3">
      <c r="A3" s="3"/>
      <c r="B3" s="3" t="s">
        <v>3</v>
      </c>
    </row>
    <row r="4" spans="1:2" ht="18" customHeight="1" x14ac:dyDescent="0.3">
      <c r="A4" s="3"/>
      <c r="B4" s="3"/>
    </row>
    <row r="5" spans="1:2" ht="18" customHeight="1" x14ac:dyDescent="0.3">
      <c r="A5" s="1" t="s">
        <v>4</v>
      </c>
      <c r="B5" s="2" t="s">
        <v>5</v>
      </c>
    </row>
    <row r="6" spans="1:2" ht="18" customHeight="1" x14ac:dyDescent="0.3">
      <c r="A6" s="3"/>
      <c r="B6" s="3" t="s">
        <v>6</v>
      </c>
    </row>
    <row r="7" spans="1:2" ht="18" customHeight="1" x14ac:dyDescent="0.3">
      <c r="A7" s="3"/>
      <c r="B7" s="3" t="s">
        <v>7</v>
      </c>
    </row>
    <row r="8" spans="1:2" ht="18" customHeight="1" x14ac:dyDescent="0.3">
      <c r="A8" s="3"/>
      <c r="B8" s="3" t="s">
        <v>8</v>
      </c>
    </row>
    <row r="9" spans="1:2" ht="18" customHeight="1" x14ac:dyDescent="0.3">
      <c r="A9" s="3"/>
      <c r="B9" s="3"/>
    </row>
    <row r="10" spans="1:2" ht="18" customHeight="1" x14ac:dyDescent="0.3">
      <c r="A10" s="1" t="s">
        <v>9</v>
      </c>
      <c r="B10" s="2" t="s">
        <v>10</v>
      </c>
    </row>
    <row r="11" spans="1:2" ht="18" customHeight="1" x14ac:dyDescent="0.3">
      <c r="A11" s="3"/>
      <c r="B11" s="3" t="s">
        <v>11</v>
      </c>
    </row>
    <row r="12" spans="1:2" ht="18" customHeight="1" x14ac:dyDescent="0.3">
      <c r="A12" s="3"/>
      <c r="B12" s="3" t="s">
        <v>12</v>
      </c>
    </row>
    <row r="13" spans="1:2" ht="18" customHeight="1" x14ac:dyDescent="0.3">
      <c r="A13" s="3"/>
      <c r="B13" s="3" t="s">
        <v>13</v>
      </c>
    </row>
    <row r="14" spans="1:2" ht="18" customHeight="1" x14ac:dyDescent="0.3">
      <c r="A14" s="3"/>
      <c r="B14" s="3" t="s">
        <v>14</v>
      </c>
    </row>
    <row r="15" spans="1:2" ht="18" customHeight="1" x14ac:dyDescent="0.3">
      <c r="A15" s="3"/>
      <c r="B15" s="3" t="s">
        <v>15</v>
      </c>
    </row>
    <row r="16" spans="1:2" ht="18" customHeight="1" x14ac:dyDescent="0.3">
      <c r="A16" s="3"/>
      <c r="B16" s="3"/>
    </row>
    <row r="17" spans="1:2" ht="18" customHeight="1" x14ac:dyDescent="0.3">
      <c r="A17" s="1" t="s">
        <v>16</v>
      </c>
      <c r="B17" s="2" t="s">
        <v>17</v>
      </c>
    </row>
    <row r="18" spans="1:2" ht="18" customHeight="1" x14ac:dyDescent="0.3">
      <c r="A18" s="3"/>
      <c r="B18" s="3" t="s">
        <v>18</v>
      </c>
    </row>
    <row r="19" spans="1:2" ht="18" customHeight="1" x14ac:dyDescent="0.3">
      <c r="A19" s="3"/>
      <c r="B19" s="3" t="s">
        <v>19</v>
      </c>
    </row>
    <row r="20" spans="1:2" ht="18" customHeight="1" x14ac:dyDescent="0.3">
      <c r="A20" s="3"/>
      <c r="B20" s="3" t="s">
        <v>20</v>
      </c>
    </row>
    <row r="21" spans="1:2" ht="18" customHeight="1" x14ac:dyDescent="0.3">
      <c r="A21" s="3"/>
      <c r="B21" s="3" t="s">
        <v>21</v>
      </c>
    </row>
    <row r="22" spans="1:2" ht="18" customHeight="1" x14ac:dyDescent="0.3">
      <c r="A22" s="3"/>
      <c r="B22" s="3" t="s">
        <v>22</v>
      </c>
    </row>
    <row r="23" spans="1:2" ht="18" customHeight="1" x14ac:dyDescent="0.3">
      <c r="A23" s="3"/>
      <c r="B23" s="3" t="s">
        <v>23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9"/>
  <sheetViews>
    <sheetView showGridLines="0" tabSelected="1" workbookViewId="0">
      <pane ySplit="3" topLeftCell="A4" activePane="bottomLeft" state="frozen"/>
      <selection pane="bottomLeft" activeCell="L16" sqref="L16"/>
    </sheetView>
  </sheetViews>
  <sheetFormatPr defaultRowHeight="14.4" x14ac:dyDescent="0.3"/>
  <cols>
    <col min="1" max="1" width="36" customWidth="1"/>
    <col min="2" max="3" width="14" customWidth="1"/>
    <col min="4" max="4" width="18" customWidth="1"/>
    <col min="5" max="5" width="24" customWidth="1"/>
    <col min="6" max="6" width="30" customWidth="1"/>
  </cols>
  <sheetData>
    <row r="1" spans="1:6" ht="28.05" customHeight="1" x14ac:dyDescent="0.3">
      <c r="A1" s="21" t="s">
        <v>24</v>
      </c>
      <c r="B1" s="22"/>
      <c r="C1" s="22"/>
      <c r="D1" s="22"/>
      <c r="E1" s="22"/>
      <c r="F1" s="22"/>
    </row>
    <row r="2" spans="1:6" ht="34.049999999999997" customHeight="1" x14ac:dyDescent="0.3">
      <c r="A2" s="4" t="s">
        <v>25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</row>
    <row r="3" spans="1:6" ht="16.05" customHeight="1" x14ac:dyDescent="0.3">
      <c r="A3" s="5" t="s">
        <v>31</v>
      </c>
    </row>
    <row r="4" spans="1:6" ht="38.4" customHeight="1" x14ac:dyDescent="0.3">
      <c r="A4" s="20" t="s">
        <v>108</v>
      </c>
      <c r="B4" s="13">
        <v>10</v>
      </c>
      <c r="C4" s="19">
        <v>120</v>
      </c>
      <c r="D4" s="13" t="s">
        <v>107</v>
      </c>
      <c r="E4" s="13" t="s">
        <v>54</v>
      </c>
      <c r="F4" s="13"/>
    </row>
    <row r="5" spans="1:6" ht="38.4" customHeight="1" x14ac:dyDescent="0.3">
      <c r="A5" s="20" t="s">
        <v>109</v>
      </c>
      <c r="B5" s="14">
        <v>0</v>
      </c>
      <c r="C5" s="19">
        <v>7</v>
      </c>
      <c r="D5" s="15" t="s">
        <v>110</v>
      </c>
      <c r="E5" s="15" t="s">
        <v>54</v>
      </c>
      <c r="F5" s="15"/>
    </row>
    <row r="6" spans="1:6" ht="38.4" customHeight="1" x14ac:dyDescent="0.3">
      <c r="A6" s="20" t="s">
        <v>111</v>
      </c>
      <c r="B6" s="13">
        <v>0</v>
      </c>
      <c r="C6" s="19">
        <v>5</v>
      </c>
      <c r="D6" s="13" t="s">
        <v>112</v>
      </c>
      <c r="E6" s="13" t="s">
        <v>54</v>
      </c>
      <c r="F6" s="13"/>
    </row>
    <row r="7" spans="1:6" ht="38.4" customHeight="1" x14ac:dyDescent="0.3">
      <c r="A7" s="20" t="s">
        <v>113</v>
      </c>
      <c r="B7" s="15">
        <v>0</v>
      </c>
      <c r="C7" s="19">
        <v>5</v>
      </c>
      <c r="D7" s="15" t="s">
        <v>118</v>
      </c>
      <c r="E7" s="15" t="s">
        <v>54</v>
      </c>
      <c r="F7" s="15"/>
    </row>
    <row r="8" spans="1:6" ht="38.4" customHeight="1" x14ac:dyDescent="0.3">
      <c r="A8" s="20" t="s">
        <v>114</v>
      </c>
      <c r="B8" s="13">
        <v>0</v>
      </c>
      <c r="C8" s="19">
        <v>4</v>
      </c>
      <c r="D8" s="13" t="s">
        <v>118</v>
      </c>
      <c r="E8" s="13" t="s">
        <v>54</v>
      </c>
      <c r="F8" s="13"/>
    </row>
    <row r="9" spans="1:6" ht="38.4" customHeight="1" x14ac:dyDescent="0.3">
      <c r="A9" s="20" t="s">
        <v>124</v>
      </c>
      <c r="B9" s="15">
        <v>0</v>
      </c>
      <c r="C9" s="15">
        <v>175</v>
      </c>
      <c r="D9" s="15" t="s">
        <v>119</v>
      </c>
      <c r="E9" s="13" t="s">
        <v>54</v>
      </c>
      <c r="F9" s="15"/>
    </row>
    <row r="10" spans="1:6" ht="39" customHeight="1" x14ac:dyDescent="0.3">
      <c r="A10" s="20" t="s">
        <v>123</v>
      </c>
      <c r="B10" s="13">
        <v>0</v>
      </c>
      <c r="C10" s="13">
        <v>350</v>
      </c>
      <c r="D10" s="13" t="s">
        <v>119</v>
      </c>
      <c r="E10" s="13" t="s">
        <v>54</v>
      </c>
      <c r="F10" s="13"/>
    </row>
    <row r="11" spans="1:6" ht="19.95" customHeight="1" x14ac:dyDescent="0.3">
      <c r="A11" s="20" t="s">
        <v>115</v>
      </c>
      <c r="B11" s="13">
        <v>0</v>
      </c>
      <c r="C11" s="13">
        <v>1</v>
      </c>
      <c r="D11" s="13" t="s">
        <v>120</v>
      </c>
      <c r="E11" s="13" t="s">
        <v>54</v>
      </c>
      <c r="F11" s="13"/>
    </row>
    <row r="12" spans="1:6" ht="19.95" customHeight="1" x14ac:dyDescent="0.3">
      <c r="A12" s="20" t="s">
        <v>116</v>
      </c>
      <c r="B12" s="15">
        <v>0</v>
      </c>
      <c r="C12" s="15">
        <v>4</v>
      </c>
      <c r="D12" s="15" t="s">
        <v>121</v>
      </c>
      <c r="E12" s="13" t="s">
        <v>54</v>
      </c>
      <c r="F12" s="15"/>
    </row>
    <row r="13" spans="1:6" ht="19.95" customHeight="1" x14ac:dyDescent="0.3">
      <c r="A13" s="20" t="s">
        <v>117</v>
      </c>
      <c r="B13" s="13">
        <v>0</v>
      </c>
      <c r="C13" s="13">
        <v>1</v>
      </c>
      <c r="D13" s="13" t="s">
        <v>122</v>
      </c>
      <c r="E13" s="13" t="s">
        <v>54</v>
      </c>
      <c r="F13" s="13"/>
    </row>
    <row r="14" spans="1:6" ht="19.95" customHeight="1" x14ac:dyDescent="0.3">
      <c r="A14" s="12" t="s">
        <v>125</v>
      </c>
      <c r="B14" s="12">
        <v>10</v>
      </c>
      <c r="C14" s="12">
        <v>50</v>
      </c>
      <c r="D14" s="12" t="s">
        <v>126</v>
      </c>
      <c r="E14" s="12" t="s">
        <v>54</v>
      </c>
      <c r="F14" s="12"/>
    </row>
    <row r="15" spans="1:6" ht="19.95" customHeight="1" x14ac:dyDescent="0.3">
      <c r="A15" s="6"/>
      <c r="B15" s="6"/>
      <c r="C15" s="6"/>
      <c r="D15" s="6"/>
      <c r="E15" s="6"/>
      <c r="F15" s="6"/>
    </row>
    <row r="16" spans="1:6" ht="19.95" customHeight="1" x14ac:dyDescent="0.3">
      <c r="A16" s="7"/>
      <c r="B16" s="7"/>
      <c r="C16" s="7"/>
      <c r="D16" s="7"/>
      <c r="E16" s="7"/>
      <c r="F16" s="7"/>
    </row>
    <row r="17" spans="1:6" ht="19.95" customHeight="1" x14ac:dyDescent="0.3">
      <c r="A17" s="6"/>
      <c r="B17" s="6"/>
      <c r="C17" s="6"/>
      <c r="D17" s="6"/>
      <c r="E17" s="6"/>
      <c r="F17" s="6"/>
    </row>
    <row r="18" spans="1:6" ht="19.95" customHeight="1" x14ac:dyDescent="0.3">
      <c r="A18" s="7"/>
      <c r="B18" s="7"/>
      <c r="C18" s="7"/>
      <c r="D18" s="7"/>
      <c r="E18" s="7"/>
      <c r="F18" s="7"/>
    </row>
    <row r="19" spans="1:6" ht="19.95" customHeight="1" x14ac:dyDescent="0.3">
      <c r="A19" s="6"/>
      <c r="B19" s="6"/>
      <c r="C19" s="6"/>
      <c r="D19" s="6"/>
      <c r="E19" s="6"/>
      <c r="F19" s="6"/>
    </row>
    <row r="20" spans="1:6" ht="19.95" customHeight="1" x14ac:dyDescent="0.3">
      <c r="A20" s="7"/>
      <c r="B20" s="7"/>
      <c r="C20" s="7"/>
      <c r="D20" s="7"/>
      <c r="E20" s="7"/>
      <c r="F20" s="7"/>
    </row>
    <row r="21" spans="1:6" ht="19.95" customHeight="1" x14ac:dyDescent="0.3">
      <c r="A21" s="6"/>
      <c r="B21" s="6"/>
      <c r="C21" s="6"/>
      <c r="D21" s="6"/>
      <c r="E21" s="6"/>
      <c r="F21" s="6"/>
    </row>
    <row r="22" spans="1:6" ht="19.95" customHeight="1" x14ac:dyDescent="0.3">
      <c r="A22" s="7"/>
      <c r="B22" s="7"/>
      <c r="C22" s="7"/>
      <c r="D22" s="7"/>
      <c r="E22" s="7"/>
      <c r="F22" s="7"/>
    </row>
    <row r="23" spans="1:6" ht="19.95" customHeight="1" x14ac:dyDescent="0.3">
      <c r="A23" s="6"/>
      <c r="B23" s="6"/>
      <c r="C23" s="6"/>
      <c r="D23" s="6"/>
      <c r="E23" s="6"/>
      <c r="F23" s="6"/>
    </row>
    <row r="24" spans="1:6" ht="19.95" customHeight="1" x14ac:dyDescent="0.3">
      <c r="A24" s="7"/>
      <c r="B24" s="7"/>
      <c r="C24" s="7"/>
      <c r="D24" s="7"/>
      <c r="E24" s="7"/>
      <c r="F24" s="7"/>
    </row>
    <row r="25" spans="1:6" ht="19.95" customHeight="1" x14ac:dyDescent="0.3">
      <c r="A25" s="6"/>
      <c r="B25" s="6"/>
      <c r="C25" s="6"/>
      <c r="D25" s="6"/>
      <c r="E25" s="6"/>
      <c r="F25" s="6"/>
    </row>
    <row r="26" spans="1:6" ht="19.95" customHeight="1" x14ac:dyDescent="0.3">
      <c r="A26" s="7"/>
      <c r="B26" s="7"/>
      <c r="C26" s="7"/>
      <c r="D26" s="7"/>
      <c r="E26" s="7"/>
      <c r="F26" s="7"/>
    </row>
    <row r="27" spans="1:6" ht="19.95" customHeight="1" x14ac:dyDescent="0.3">
      <c r="A27" s="6"/>
      <c r="B27" s="6"/>
      <c r="C27" s="6"/>
      <c r="D27" s="6"/>
      <c r="E27" s="6"/>
      <c r="F27" s="6"/>
    </row>
    <row r="28" spans="1:6" ht="19.95" customHeight="1" x14ac:dyDescent="0.3">
      <c r="A28" s="7"/>
      <c r="B28" s="7"/>
      <c r="C28" s="7"/>
      <c r="D28" s="7"/>
      <c r="E28" s="7"/>
      <c r="F28" s="7"/>
    </row>
    <row r="29" spans="1:6" ht="19.95" customHeight="1" x14ac:dyDescent="0.3">
      <c r="A29" s="6"/>
      <c r="B29" s="6"/>
      <c r="C29" s="6"/>
      <c r="D29" s="6"/>
      <c r="E29" s="6"/>
      <c r="F29" s="6"/>
    </row>
  </sheetData>
  <mergeCells count="1">
    <mergeCell ref="A1:F1"/>
  </mergeCells>
  <dataValidations count="1">
    <dataValidation type="list" allowBlank="1" sqref="E4:E29" xr:uid="{00000000-0002-0000-0100-000000000000}">
      <formula1>"green,amber,red,blue"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0"/>
  <sheetViews>
    <sheetView showGridLines="0" workbookViewId="0">
      <pane ySplit="3" topLeftCell="A4" activePane="bottomLeft" state="frozen"/>
      <selection pane="bottomLeft" activeCell="C4" sqref="C4"/>
    </sheetView>
  </sheetViews>
  <sheetFormatPr defaultRowHeight="14.4" x14ac:dyDescent="0.3"/>
  <cols>
    <col min="1" max="1" width="28" customWidth="1"/>
    <col min="2" max="2" width="46" customWidth="1"/>
    <col min="3" max="3" width="12" customWidth="1"/>
    <col min="4" max="5" width="14" customWidth="1"/>
    <col min="6" max="6" width="16" customWidth="1"/>
    <col min="7" max="8" width="28" customWidth="1"/>
  </cols>
  <sheetData>
    <row r="1" spans="1:8" ht="28.05" customHeight="1" x14ac:dyDescent="0.3">
      <c r="A1" s="21" t="s">
        <v>34</v>
      </c>
      <c r="B1" s="22"/>
      <c r="C1" s="22"/>
      <c r="D1" s="22"/>
      <c r="E1" s="22"/>
      <c r="F1" s="22"/>
      <c r="G1" s="22"/>
      <c r="H1" s="22"/>
    </row>
    <row r="2" spans="1:8" ht="34.049999999999997" customHeight="1" x14ac:dyDescent="0.3">
      <c r="A2" s="4" t="s">
        <v>35</v>
      </c>
      <c r="B2" s="4" t="s">
        <v>36</v>
      </c>
      <c r="C2" s="4" t="s">
        <v>37</v>
      </c>
      <c r="D2" s="4" t="s">
        <v>26</v>
      </c>
      <c r="E2" s="4" t="s">
        <v>27</v>
      </c>
      <c r="F2" s="4" t="s">
        <v>28</v>
      </c>
      <c r="G2" s="4" t="s">
        <v>38</v>
      </c>
      <c r="H2" s="4" t="s">
        <v>30</v>
      </c>
    </row>
    <row r="3" spans="1:8" ht="16.05" customHeight="1" x14ac:dyDescent="0.3">
      <c r="A3" s="5" t="s">
        <v>39</v>
      </c>
    </row>
    <row r="4" spans="1:8" ht="19.95" customHeight="1" x14ac:dyDescent="0.3">
      <c r="A4" s="7"/>
      <c r="B4" s="7" t="s">
        <v>55</v>
      </c>
      <c r="C4" s="7">
        <v>0</v>
      </c>
      <c r="D4" s="7"/>
      <c r="E4" s="7">
        <v>17.5</v>
      </c>
      <c r="F4" s="7" t="s">
        <v>56</v>
      </c>
      <c r="G4" s="7" t="s">
        <v>53</v>
      </c>
      <c r="H4" s="7"/>
    </row>
    <row r="5" spans="1:8" ht="19.95" customHeight="1" x14ac:dyDescent="0.3">
      <c r="A5" s="7"/>
      <c r="B5" s="7" t="s">
        <v>57</v>
      </c>
      <c r="C5" s="10">
        <v>0</v>
      </c>
      <c r="D5" s="9"/>
      <c r="E5" s="10">
        <v>10.96</v>
      </c>
      <c r="F5" s="7" t="s">
        <v>33</v>
      </c>
      <c r="G5" s="7" t="s">
        <v>52</v>
      </c>
      <c r="H5" s="7"/>
    </row>
    <row r="6" spans="1:8" ht="19.95" customHeight="1" x14ac:dyDescent="0.3">
      <c r="A6" s="6"/>
      <c r="B6" s="6" t="s">
        <v>58</v>
      </c>
      <c r="C6" s="6">
        <v>0</v>
      </c>
      <c r="D6" s="6"/>
      <c r="E6" s="6">
        <v>50</v>
      </c>
      <c r="F6" s="6" t="s">
        <v>32</v>
      </c>
      <c r="G6" s="6" t="s">
        <v>53</v>
      </c>
      <c r="H6" s="6"/>
    </row>
    <row r="7" spans="1:8" ht="19.95" customHeight="1" x14ac:dyDescent="0.3">
      <c r="A7" s="7"/>
      <c r="B7" s="7" t="s">
        <v>59</v>
      </c>
      <c r="C7" s="10">
        <v>0</v>
      </c>
      <c r="D7" s="10"/>
      <c r="E7" s="10">
        <v>2027</v>
      </c>
      <c r="F7" s="7" t="s">
        <v>60</v>
      </c>
      <c r="G7" s="7" t="s">
        <v>53</v>
      </c>
      <c r="H7" s="7"/>
    </row>
    <row r="8" spans="1:8" ht="19.95" customHeight="1" x14ac:dyDescent="0.3">
      <c r="A8" s="6"/>
      <c r="B8" s="6" t="s">
        <v>61</v>
      </c>
      <c r="C8" s="6">
        <v>0</v>
      </c>
      <c r="D8" s="6"/>
      <c r="E8" s="6">
        <v>6267</v>
      </c>
      <c r="F8" s="6" t="s">
        <v>62</v>
      </c>
      <c r="G8" s="6" t="s">
        <v>53</v>
      </c>
      <c r="H8" s="6"/>
    </row>
    <row r="9" spans="1:8" ht="19.95" customHeight="1" x14ac:dyDescent="0.3">
      <c r="A9" s="7"/>
      <c r="B9" s="7" t="s">
        <v>63</v>
      </c>
      <c r="C9" s="7">
        <v>0</v>
      </c>
      <c r="D9" s="7"/>
      <c r="E9" s="11">
        <v>4.2599999999999999E-2</v>
      </c>
      <c r="F9" s="7"/>
      <c r="G9" s="7" t="s">
        <v>53</v>
      </c>
      <c r="H9" s="7"/>
    </row>
    <row r="10" spans="1:8" ht="19.95" customHeight="1" x14ac:dyDescent="0.3">
      <c r="A10" s="6"/>
      <c r="B10" s="6" t="s">
        <v>64</v>
      </c>
      <c r="C10" s="6">
        <v>0</v>
      </c>
      <c r="D10" s="6"/>
      <c r="E10" s="6">
        <v>400</v>
      </c>
      <c r="F10" s="6"/>
      <c r="G10" s="6" t="s">
        <v>53</v>
      </c>
      <c r="H10" s="6"/>
    </row>
    <row r="11" spans="1:8" ht="19.95" customHeight="1" x14ac:dyDescent="0.3">
      <c r="A11" s="7"/>
      <c r="B11" s="7" t="s">
        <v>65</v>
      </c>
      <c r="C11" s="7">
        <v>0</v>
      </c>
      <c r="D11" s="7"/>
      <c r="E11" s="7">
        <v>1</v>
      </c>
      <c r="F11" s="7"/>
      <c r="G11" s="7" t="s">
        <v>53</v>
      </c>
      <c r="H11" s="7"/>
    </row>
    <row r="12" spans="1:8" ht="19.95" customHeight="1" x14ac:dyDescent="0.3">
      <c r="A12" s="6"/>
      <c r="B12" s="6" t="s">
        <v>66</v>
      </c>
      <c r="C12" s="6">
        <v>0</v>
      </c>
      <c r="D12" s="6"/>
      <c r="E12" s="6">
        <v>4</v>
      </c>
      <c r="F12" s="6" t="s">
        <v>67</v>
      </c>
      <c r="G12" s="6" t="s">
        <v>53</v>
      </c>
      <c r="H12" s="6"/>
    </row>
    <row r="13" spans="1:8" ht="19.95" customHeight="1" x14ac:dyDescent="0.3">
      <c r="A13" s="7"/>
      <c r="B13" s="7" t="s">
        <v>68</v>
      </c>
      <c r="C13" s="7">
        <v>0</v>
      </c>
      <c r="D13" s="7"/>
      <c r="E13" s="7">
        <v>5</v>
      </c>
      <c r="F13" s="7" t="s">
        <v>69</v>
      </c>
      <c r="G13" s="7" t="s">
        <v>53</v>
      </c>
      <c r="H13" s="7"/>
    </row>
    <row r="14" spans="1:8" ht="19.95" customHeight="1" x14ac:dyDescent="0.3">
      <c r="A14" s="6"/>
      <c r="B14" s="6" t="s">
        <v>70</v>
      </c>
      <c r="C14" s="6">
        <v>0</v>
      </c>
      <c r="D14" s="6"/>
      <c r="E14" s="6">
        <v>1237</v>
      </c>
      <c r="F14" s="6" t="s">
        <v>71</v>
      </c>
      <c r="G14" s="6" t="s">
        <v>53</v>
      </c>
      <c r="H14" s="6"/>
    </row>
    <row r="15" spans="1:8" ht="1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19.95" customHeight="1" x14ac:dyDescent="0.3">
      <c r="A16" s="6"/>
      <c r="B16" s="6"/>
      <c r="C16" s="6"/>
      <c r="D16" s="6"/>
      <c r="E16" s="6"/>
      <c r="F16" s="6"/>
      <c r="G16" s="6"/>
      <c r="H16" s="6"/>
    </row>
    <row r="17" spans="1:8" ht="1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19.95" customHeight="1" x14ac:dyDescent="0.3">
      <c r="A18" s="6"/>
      <c r="B18" s="6"/>
      <c r="C18" s="6"/>
      <c r="D18" s="6"/>
      <c r="E18" s="6"/>
      <c r="F18" s="6"/>
      <c r="G18" s="6"/>
      <c r="H18" s="6"/>
    </row>
    <row r="19" spans="1:8" ht="1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19.95" customHeight="1" x14ac:dyDescent="0.3">
      <c r="A20" s="6"/>
      <c r="B20" s="6"/>
      <c r="C20" s="6"/>
      <c r="D20" s="6"/>
      <c r="E20" s="6"/>
      <c r="F20" s="6"/>
      <c r="G20" s="6"/>
      <c r="H20" s="6"/>
    </row>
    <row r="21" spans="1:8" ht="1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19.95" customHeight="1" x14ac:dyDescent="0.3">
      <c r="A22" s="6"/>
      <c r="B22" s="6"/>
      <c r="C22" s="6"/>
      <c r="D22" s="6"/>
      <c r="E22" s="6"/>
      <c r="F22" s="6"/>
      <c r="G22" s="6"/>
      <c r="H22" s="6"/>
    </row>
    <row r="23" spans="1:8" ht="1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19.95" customHeight="1" x14ac:dyDescent="0.3">
      <c r="A24" s="6"/>
      <c r="B24" s="6"/>
      <c r="C24" s="6"/>
      <c r="D24" s="6"/>
      <c r="E24" s="6"/>
      <c r="F24" s="6"/>
      <c r="G24" s="6"/>
      <c r="H24" s="6"/>
    </row>
    <row r="25" spans="1:8" ht="1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19.95" customHeight="1" x14ac:dyDescent="0.3">
      <c r="A26" s="6"/>
      <c r="B26" s="6"/>
      <c r="C26" s="6"/>
      <c r="D26" s="6"/>
      <c r="E26" s="6"/>
      <c r="F26" s="6"/>
      <c r="G26" s="6"/>
      <c r="H26" s="6"/>
    </row>
    <row r="27" spans="1:8" ht="19.95" customHeight="1" x14ac:dyDescent="0.3">
      <c r="A27" s="7"/>
      <c r="B27" s="7"/>
      <c r="C27" s="7"/>
      <c r="D27" s="7"/>
      <c r="E27" s="7"/>
      <c r="F27" s="7"/>
      <c r="G27" s="7"/>
      <c r="H27" s="7"/>
    </row>
    <row r="28" spans="1:8" ht="19.95" customHeight="1" x14ac:dyDescent="0.3">
      <c r="A28" s="6"/>
      <c r="B28" s="6"/>
      <c r="C28" s="6"/>
      <c r="D28" s="6"/>
      <c r="E28" s="6"/>
      <c r="F28" s="6"/>
      <c r="G28" s="6"/>
      <c r="H28" s="6"/>
    </row>
    <row r="29" spans="1:8" ht="19.95" customHeight="1" x14ac:dyDescent="0.3">
      <c r="A29" s="7"/>
      <c r="B29" s="7"/>
      <c r="C29" s="7"/>
      <c r="D29" s="7"/>
      <c r="E29" s="7"/>
      <c r="F29" s="7"/>
      <c r="G29" s="7"/>
      <c r="H29" s="7"/>
    </row>
    <row r="30" spans="1:8" ht="19.95" customHeight="1" x14ac:dyDescent="0.3">
      <c r="A30" s="6"/>
      <c r="B30" s="6"/>
      <c r="C30" s="6"/>
      <c r="D30" s="6"/>
      <c r="E30" s="6"/>
      <c r="F30" s="6"/>
      <c r="G30" s="6"/>
      <c r="H30" s="6"/>
    </row>
  </sheetData>
  <mergeCells count="1">
    <mergeCell ref="A1:H1"/>
  </mergeCells>
  <dataValidations count="1">
    <dataValidation type="list" allowBlank="1" sqref="G4:G30" xr:uid="{00000000-0002-0000-0200-000000000000}">
      <formula1>"On Track,Needs Attention,Delayed,Not Started"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showGridLines="0" workbookViewId="0">
      <pane ySplit="3" topLeftCell="A4" activePane="bottomLeft" state="frozen"/>
      <selection pane="bottomLeft" activeCell="D4" sqref="D4"/>
    </sheetView>
  </sheetViews>
  <sheetFormatPr defaultRowHeight="14.4" x14ac:dyDescent="0.3"/>
  <cols>
    <col min="1" max="1" width="44" customWidth="1"/>
    <col min="2" max="2" width="19.109375" customWidth="1"/>
    <col min="3" max="3" width="9" customWidth="1"/>
    <col min="4" max="4" width="22" customWidth="1"/>
    <col min="5" max="5" width="32" customWidth="1"/>
  </cols>
  <sheetData>
    <row r="1" spans="1:5" x14ac:dyDescent="0.3">
      <c r="A1" s="21" t="s">
        <v>40</v>
      </c>
      <c r="B1" s="22"/>
      <c r="C1" s="22"/>
      <c r="D1" s="22"/>
      <c r="E1" s="22"/>
    </row>
    <row r="2" spans="1:5" ht="39.6" x14ac:dyDescent="0.3">
      <c r="A2" s="4" t="s">
        <v>41</v>
      </c>
      <c r="B2" s="4" t="s">
        <v>42</v>
      </c>
      <c r="C2" s="4" t="s">
        <v>43</v>
      </c>
      <c r="D2" s="4" t="s">
        <v>44</v>
      </c>
      <c r="E2" s="4" t="s">
        <v>30</v>
      </c>
    </row>
    <row r="3" spans="1:5" x14ac:dyDescent="0.3">
      <c r="A3" s="5" t="s">
        <v>45</v>
      </c>
    </row>
    <row r="4" spans="1:5" ht="52.8" x14ac:dyDescent="0.3">
      <c r="A4" s="17" t="s">
        <v>81</v>
      </c>
      <c r="B4" s="13" t="s">
        <v>77</v>
      </c>
      <c r="C4" s="13" t="s">
        <v>72</v>
      </c>
      <c r="D4" s="13">
        <f>[1]Main!$I$6</f>
        <v>9.375</v>
      </c>
      <c r="E4" s="13"/>
    </row>
    <row r="5" spans="1:5" ht="39.6" x14ac:dyDescent="0.3">
      <c r="A5" s="17" t="s">
        <v>82</v>
      </c>
      <c r="B5" s="13" t="s">
        <v>77</v>
      </c>
      <c r="C5" s="15" t="s">
        <v>72</v>
      </c>
      <c r="D5" s="15">
        <f>[1]Main!$I$17</f>
        <v>17.25</v>
      </c>
      <c r="E5" s="15"/>
    </row>
    <row r="6" spans="1:5" ht="39.6" x14ac:dyDescent="0.3">
      <c r="A6" s="18" t="s">
        <v>83</v>
      </c>
      <c r="B6" s="13" t="s">
        <v>77</v>
      </c>
      <c r="C6" s="13" t="s">
        <v>73</v>
      </c>
      <c r="D6" s="13">
        <f>[1]Main!$I$26</f>
        <v>6.75</v>
      </c>
      <c r="E6" s="13"/>
    </row>
    <row r="7" spans="1:5" ht="39.6" x14ac:dyDescent="0.3">
      <c r="A7" s="17" t="s">
        <v>84</v>
      </c>
      <c r="B7" s="13" t="s">
        <v>77</v>
      </c>
      <c r="C7" s="15" t="s">
        <v>73</v>
      </c>
      <c r="D7" s="15">
        <f>[1]Main!$I$34</f>
        <v>3</v>
      </c>
      <c r="E7" s="15"/>
    </row>
    <row r="8" spans="1:5" ht="39.6" x14ac:dyDescent="0.3">
      <c r="A8" s="17" t="s">
        <v>85</v>
      </c>
      <c r="B8" s="13" t="s">
        <v>77</v>
      </c>
      <c r="C8" s="13" t="s">
        <v>73</v>
      </c>
      <c r="D8" s="13">
        <f>[1]Main!$I$45</f>
        <v>6.5</v>
      </c>
      <c r="E8" s="13"/>
    </row>
    <row r="9" spans="1:5" ht="26.4" x14ac:dyDescent="0.3">
      <c r="A9" s="18" t="s">
        <v>86</v>
      </c>
      <c r="B9" s="13" t="s">
        <v>78</v>
      </c>
      <c r="C9" s="15" t="s">
        <v>74</v>
      </c>
      <c r="D9" s="15">
        <f>[1]Main!$I$57</f>
        <v>21</v>
      </c>
      <c r="E9" s="15"/>
    </row>
    <row r="10" spans="1:5" ht="39.6" x14ac:dyDescent="0.3">
      <c r="A10" s="18" t="s">
        <v>87</v>
      </c>
      <c r="B10" s="13" t="s">
        <v>77</v>
      </c>
      <c r="C10" s="13" t="s">
        <v>73</v>
      </c>
      <c r="D10" s="13">
        <f>[1]Main!$I$65</f>
        <v>3</v>
      </c>
      <c r="E10" s="13"/>
    </row>
    <row r="11" spans="1:5" ht="26.4" x14ac:dyDescent="0.3">
      <c r="A11" s="18" t="s">
        <v>88</v>
      </c>
      <c r="B11" s="13" t="s">
        <v>77</v>
      </c>
      <c r="C11" s="15" t="s">
        <v>75</v>
      </c>
      <c r="D11" s="15">
        <f>[1]Main!$I$75</f>
        <v>4</v>
      </c>
      <c r="E11" s="15"/>
    </row>
    <row r="12" spans="1:5" ht="26.4" x14ac:dyDescent="0.3">
      <c r="A12" s="17" t="s">
        <v>89</v>
      </c>
      <c r="B12" s="13" t="s">
        <v>77</v>
      </c>
      <c r="C12" s="13" t="s">
        <v>75</v>
      </c>
      <c r="D12" s="13">
        <f>[1]Main!$I$85</f>
        <v>0</v>
      </c>
      <c r="E12" s="13"/>
    </row>
    <row r="13" spans="1:5" ht="26.4" x14ac:dyDescent="0.3">
      <c r="A13" s="17" t="s">
        <v>90</v>
      </c>
      <c r="B13" s="13" t="s">
        <v>77</v>
      </c>
      <c r="C13" s="15" t="s">
        <v>75</v>
      </c>
      <c r="D13" s="15">
        <f>[1]Main!$I$97</f>
        <v>20.75</v>
      </c>
      <c r="E13" s="15"/>
    </row>
    <row r="14" spans="1:5" ht="39.6" x14ac:dyDescent="0.3">
      <c r="A14" s="18" t="s">
        <v>91</v>
      </c>
      <c r="B14" s="13" t="s">
        <v>77</v>
      </c>
      <c r="C14" s="13" t="s">
        <v>75</v>
      </c>
      <c r="D14" s="13">
        <f>[1]Main!$I$105</f>
        <v>1.25</v>
      </c>
      <c r="E14" s="13"/>
    </row>
    <row r="15" spans="1:5" ht="26.4" x14ac:dyDescent="0.3">
      <c r="A15" s="18" t="s">
        <v>92</v>
      </c>
      <c r="B15" s="13" t="s">
        <v>77</v>
      </c>
      <c r="C15" s="15" t="s">
        <v>75</v>
      </c>
      <c r="D15" s="15">
        <f>[1]Main!$I$118</f>
        <v>2</v>
      </c>
      <c r="E15" s="15"/>
    </row>
    <row r="16" spans="1:5" ht="39.6" x14ac:dyDescent="0.3">
      <c r="A16" s="18" t="s">
        <v>93</v>
      </c>
      <c r="B16" s="13" t="s">
        <v>77</v>
      </c>
      <c r="C16" s="13" t="s">
        <v>75</v>
      </c>
      <c r="D16" s="13">
        <f>[1]Main!$I$124</f>
        <v>4</v>
      </c>
      <c r="E16" s="13"/>
    </row>
    <row r="17" spans="1:5" ht="26.4" x14ac:dyDescent="0.3">
      <c r="A17" s="18" t="s">
        <v>94</v>
      </c>
      <c r="B17" s="13" t="s">
        <v>80</v>
      </c>
      <c r="C17" s="15" t="s">
        <v>76</v>
      </c>
      <c r="D17" s="15">
        <f>[1]Main!$I$131</f>
        <v>10</v>
      </c>
      <c r="E17" s="15"/>
    </row>
    <row r="18" spans="1:5" ht="39.6" x14ac:dyDescent="0.3">
      <c r="A18" s="18" t="s">
        <v>95</v>
      </c>
      <c r="B18" s="13" t="s">
        <v>77</v>
      </c>
      <c r="C18" s="13" t="s">
        <v>75</v>
      </c>
      <c r="D18" s="15">
        <f>[1]Main!$I$133</f>
        <v>0</v>
      </c>
      <c r="E18" s="13"/>
    </row>
    <row r="19" spans="1:5" ht="26.4" x14ac:dyDescent="0.3">
      <c r="A19" s="17" t="s">
        <v>96</v>
      </c>
      <c r="B19" s="13" t="s">
        <v>77</v>
      </c>
      <c r="C19" s="15" t="s">
        <v>73</v>
      </c>
      <c r="D19" s="15">
        <f>[1]Main!$I$139</f>
        <v>24</v>
      </c>
      <c r="E19" s="15"/>
    </row>
    <row r="20" spans="1:5" ht="26.4" x14ac:dyDescent="0.3">
      <c r="A20" s="18" t="s">
        <v>97</v>
      </c>
      <c r="B20" s="13" t="s">
        <v>77</v>
      </c>
      <c r="C20" s="13" t="s">
        <v>75</v>
      </c>
      <c r="D20" s="15">
        <f>[1]Main!$I$144</f>
        <v>20</v>
      </c>
      <c r="E20" s="13"/>
    </row>
    <row r="21" spans="1:5" ht="26.4" x14ac:dyDescent="0.3">
      <c r="A21" s="17" t="s">
        <v>98</v>
      </c>
      <c r="B21" s="13" t="s">
        <v>77</v>
      </c>
      <c r="C21" s="15" t="s">
        <v>75</v>
      </c>
      <c r="D21" s="15">
        <f>[1]Main!$I$150</f>
        <v>2</v>
      </c>
      <c r="E21" s="15"/>
    </row>
    <row r="22" spans="1:5" ht="26.4" x14ac:dyDescent="0.3">
      <c r="A22" s="18" t="s">
        <v>99</v>
      </c>
      <c r="B22" s="13" t="s">
        <v>77</v>
      </c>
      <c r="C22" s="13" t="s">
        <v>75</v>
      </c>
      <c r="D22" s="15">
        <f>[1]Main!$I$157</f>
        <v>5</v>
      </c>
      <c r="E22" s="13"/>
    </row>
    <row r="23" spans="1:5" ht="26.4" x14ac:dyDescent="0.3">
      <c r="A23" s="18" t="s">
        <v>100</v>
      </c>
      <c r="B23" s="13" t="s">
        <v>77</v>
      </c>
      <c r="C23" s="15" t="s">
        <v>75</v>
      </c>
      <c r="D23" s="15">
        <f>[1]Main!$I$165</f>
        <v>0</v>
      </c>
      <c r="E23" s="15"/>
    </row>
    <row r="24" spans="1:5" ht="26.4" x14ac:dyDescent="0.3">
      <c r="A24" s="18" t="s">
        <v>101</v>
      </c>
      <c r="B24" s="13" t="s">
        <v>79</v>
      </c>
      <c r="C24" s="13" t="s">
        <v>72</v>
      </c>
      <c r="D24" s="15">
        <f>[1]Main!$I$175</f>
        <v>0.75</v>
      </c>
      <c r="E24" s="13"/>
    </row>
    <row r="25" spans="1:5" ht="39.6" x14ac:dyDescent="0.3">
      <c r="A25" s="17" t="s">
        <v>102</v>
      </c>
      <c r="B25" s="13" t="s">
        <v>77</v>
      </c>
      <c r="C25" s="15" t="s">
        <v>76</v>
      </c>
      <c r="D25" s="15">
        <f>[1]Main!$I$181</f>
        <v>17.5</v>
      </c>
      <c r="E25" s="15"/>
    </row>
    <row r="26" spans="1:5" ht="26.4" x14ac:dyDescent="0.3">
      <c r="A26" s="18" t="s">
        <v>103</v>
      </c>
      <c r="B26" s="13" t="s">
        <v>77</v>
      </c>
      <c r="C26" s="13" t="s">
        <v>73</v>
      </c>
      <c r="D26" s="15">
        <f>[1]Main!$I$193</f>
        <v>19</v>
      </c>
      <c r="E26" s="13"/>
    </row>
    <row r="27" spans="1:5" ht="26.4" x14ac:dyDescent="0.3">
      <c r="A27" s="18" t="s">
        <v>104</v>
      </c>
      <c r="B27" s="13" t="s">
        <v>77</v>
      </c>
      <c r="C27" s="15" t="s">
        <v>73</v>
      </c>
      <c r="D27" s="15">
        <f>[1]Main!$I$199</f>
        <v>22.5</v>
      </c>
      <c r="E27" s="15"/>
    </row>
    <row r="28" spans="1:5" ht="26.4" x14ac:dyDescent="0.3">
      <c r="A28" s="17" t="s">
        <v>105</v>
      </c>
      <c r="B28" s="13" t="s">
        <v>77</v>
      </c>
      <c r="C28" s="13" t="s">
        <v>73</v>
      </c>
      <c r="D28" s="15">
        <f>[1]Main!$I$207</f>
        <v>3.5</v>
      </c>
      <c r="E28" s="13"/>
    </row>
    <row r="29" spans="1:5" ht="26.4" x14ac:dyDescent="0.3">
      <c r="A29" s="17" t="s">
        <v>106</v>
      </c>
      <c r="B29" s="13" t="s">
        <v>77</v>
      </c>
      <c r="C29" s="15" t="s">
        <v>73</v>
      </c>
      <c r="D29" s="15">
        <f>[1]Main!$I$215</f>
        <v>0</v>
      </c>
      <c r="E29" s="15"/>
    </row>
    <row r="30" spans="1:5" x14ac:dyDescent="0.3">
      <c r="A30" s="16"/>
      <c r="B30" s="16"/>
      <c r="C30" s="16"/>
      <c r="D30" s="16"/>
      <c r="E30" s="16"/>
    </row>
  </sheetData>
  <mergeCells count="1">
    <mergeCell ref="A1:E1"/>
  </mergeCells>
  <dataValidations count="1">
    <dataValidation type="decimal" allowBlank="1" errorTitle="Invalid %" error="Enter 0–100" sqref="D4:D30" xr:uid="{00000000-0002-0000-0300-000000000000}">
      <formula1>0</formula1>
      <formula2>100</formula2>
    </dataValidation>
  </dataValidations>
  <pageMargins left="0.75" right="0.75" top="1" bottom="1" header="0.5" footer="0.5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showGridLines="0" workbookViewId="0">
      <pane ySplit="3" topLeftCell="A4" activePane="bottomLeft" state="frozen"/>
      <selection pane="bottomLeft" activeCell="A7" sqref="A7"/>
    </sheetView>
  </sheetViews>
  <sheetFormatPr defaultRowHeight="14.4" x14ac:dyDescent="0.3"/>
  <cols>
    <col min="1" max="1" width="44" customWidth="1"/>
    <col min="2" max="2" width="40" customWidth="1"/>
    <col min="3" max="3" width="24" customWidth="1"/>
    <col min="4" max="5" width="28" customWidth="1"/>
  </cols>
  <sheetData>
    <row r="1" spans="1:5" ht="28.05" customHeight="1" x14ac:dyDescent="0.3">
      <c r="A1" s="21" t="s">
        <v>46</v>
      </c>
      <c r="B1" s="22"/>
      <c r="C1" s="22"/>
      <c r="D1" s="22"/>
      <c r="E1" s="22"/>
    </row>
    <row r="2" spans="1:5" ht="34.049999999999997" customHeight="1" x14ac:dyDescent="0.3">
      <c r="A2" s="4" t="s">
        <v>47</v>
      </c>
      <c r="B2" s="4" t="s">
        <v>48</v>
      </c>
      <c r="C2" s="4" t="s">
        <v>49</v>
      </c>
      <c r="D2" s="4" t="s">
        <v>50</v>
      </c>
      <c r="E2" s="4" t="s">
        <v>30</v>
      </c>
    </row>
    <row r="3" spans="1:5" ht="16.05" customHeight="1" x14ac:dyDescent="0.3">
      <c r="A3" s="5" t="s">
        <v>51</v>
      </c>
    </row>
    <row r="4" spans="1:5" ht="43.8" customHeight="1" x14ac:dyDescent="0.3">
      <c r="A4" s="8" t="s">
        <v>127</v>
      </c>
      <c r="B4" s="8" t="s">
        <v>133</v>
      </c>
      <c r="C4" s="8" t="s">
        <v>128</v>
      </c>
      <c r="D4" s="8" t="s">
        <v>73</v>
      </c>
      <c r="E4" s="8"/>
    </row>
    <row r="5" spans="1:5" ht="49.2" customHeight="1" x14ac:dyDescent="0.3">
      <c r="A5" s="7" t="s">
        <v>129</v>
      </c>
      <c r="B5" s="7"/>
      <c r="C5" s="7" t="s">
        <v>128</v>
      </c>
      <c r="D5" s="7" t="s">
        <v>73</v>
      </c>
      <c r="E5" s="7"/>
    </row>
    <row r="6" spans="1:5" ht="49.2" customHeight="1" x14ac:dyDescent="0.3">
      <c r="A6" s="6" t="s">
        <v>130</v>
      </c>
      <c r="B6" s="6" t="s">
        <v>132</v>
      </c>
      <c r="C6" s="6" t="s">
        <v>128</v>
      </c>
      <c r="D6" s="6" t="s">
        <v>131</v>
      </c>
      <c r="E6" s="6"/>
    </row>
    <row r="7" spans="1:5" ht="25.2" customHeight="1" x14ac:dyDescent="0.3">
      <c r="A7" s="7"/>
      <c r="B7" s="7"/>
      <c r="C7" s="7"/>
      <c r="D7" s="7"/>
      <c r="E7" s="7"/>
    </row>
    <row r="8" spans="1:5" ht="19.95" customHeight="1" x14ac:dyDescent="0.3">
      <c r="A8" s="6"/>
      <c r="B8" s="6"/>
      <c r="C8" s="6"/>
      <c r="D8" s="6"/>
      <c r="E8" s="6"/>
    </row>
    <row r="9" spans="1:5" ht="19.95" customHeight="1" x14ac:dyDescent="0.3">
      <c r="A9" s="7"/>
      <c r="B9" s="7"/>
      <c r="C9" s="7"/>
      <c r="D9" s="7"/>
      <c r="E9" s="7"/>
    </row>
    <row r="10" spans="1:5" ht="19.95" customHeight="1" x14ac:dyDescent="0.3">
      <c r="A10" s="6"/>
      <c r="B10" s="6"/>
      <c r="C10" s="6"/>
      <c r="D10" s="6"/>
      <c r="E10" s="6"/>
    </row>
    <row r="11" spans="1:5" ht="19.95" customHeight="1" x14ac:dyDescent="0.3">
      <c r="A11" s="7"/>
      <c r="B11" s="7"/>
      <c r="C11" s="7"/>
      <c r="D11" s="7"/>
      <c r="E11" s="7"/>
    </row>
    <row r="12" spans="1:5" ht="19.95" customHeight="1" x14ac:dyDescent="0.3">
      <c r="A12" s="6"/>
      <c r="B12" s="6"/>
      <c r="C12" s="6"/>
      <c r="D12" s="6"/>
      <c r="E12" s="6"/>
    </row>
    <row r="13" spans="1:5" ht="19.95" customHeight="1" x14ac:dyDescent="0.3">
      <c r="A13" s="7"/>
      <c r="B13" s="7"/>
      <c r="C13" s="7"/>
      <c r="D13" s="7"/>
      <c r="E13" s="7"/>
    </row>
    <row r="14" spans="1:5" ht="19.95" customHeight="1" x14ac:dyDescent="0.3">
      <c r="A14" s="6"/>
      <c r="B14" s="6"/>
      <c r="C14" s="6"/>
      <c r="D14" s="6"/>
      <c r="E14" s="6"/>
    </row>
    <row r="15" spans="1:5" ht="19.95" customHeight="1" x14ac:dyDescent="0.3">
      <c r="A15" s="7"/>
      <c r="B15" s="7"/>
      <c r="C15" s="7"/>
      <c r="D15" s="7"/>
      <c r="E15" s="7"/>
    </row>
    <row r="16" spans="1:5" ht="19.95" customHeight="1" x14ac:dyDescent="0.3">
      <c r="A16" s="6"/>
      <c r="B16" s="6"/>
      <c r="C16" s="6"/>
      <c r="D16" s="6"/>
      <c r="E16" s="6"/>
    </row>
    <row r="17" spans="1:5" ht="19.95" customHeight="1" x14ac:dyDescent="0.3">
      <c r="A17" s="7"/>
      <c r="B17" s="7"/>
      <c r="C17" s="7"/>
      <c r="D17" s="7"/>
      <c r="E17" s="7"/>
    </row>
    <row r="18" spans="1:5" ht="19.95" customHeight="1" x14ac:dyDescent="0.3">
      <c r="A18" s="6"/>
      <c r="B18" s="6"/>
      <c r="C18" s="6"/>
      <c r="D18" s="6"/>
      <c r="E18" s="6"/>
    </row>
    <row r="19" spans="1:5" ht="19.95" customHeight="1" x14ac:dyDescent="0.3">
      <c r="A19" s="7"/>
      <c r="B19" s="7"/>
      <c r="C19" s="7"/>
      <c r="D19" s="7"/>
      <c r="E19" s="7"/>
    </row>
    <row r="20" spans="1:5" ht="19.95" customHeight="1" x14ac:dyDescent="0.3">
      <c r="A20" s="6"/>
      <c r="B20" s="6"/>
      <c r="C20" s="6"/>
      <c r="D20" s="6"/>
      <c r="E20" s="6"/>
    </row>
    <row r="21" spans="1:5" ht="19.95" customHeight="1" x14ac:dyDescent="0.3">
      <c r="A21" s="7"/>
      <c r="B21" s="7"/>
      <c r="C21" s="7"/>
      <c r="D21" s="7"/>
      <c r="E21" s="7"/>
    </row>
    <row r="22" spans="1:5" ht="19.95" customHeight="1" x14ac:dyDescent="0.3">
      <c r="A22" s="6"/>
      <c r="B22" s="6"/>
      <c r="C22" s="6"/>
      <c r="D22" s="6"/>
      <c r="E22" s="6"/>
    </row>
    <row r="23" spans="1:5" ht="19.95" customHeight="1" x14ac:dyDescent="0.3">
      <c r="A23" s="7"/>
      <c r="B23" s="7"/>
      <c r="C23" s="7"/>
      <c r="D23" s="7"/>
      <c r="E23" s="7"/>
    </row>
    <row r="24" spans="1:5" ht="19.95" customHeight="1" x14ac:dyDescent="0.3">
      <c r="A24" s="6"/>
      <c r="B24" s="6"/>
      <c r="C24" s="6"/>
      <c r="D24" s="6"/>
      <c r="E24" s="6"/>
    </row>
    <row r="25" spans="1:5" ht="19.95" customHeight="1" x14ac:dyDescent="0.3">
      <c r="A25" s="7"/>
      <c r="B25" s="7"/>
      <c r="C25" s="7"/>
      <c r="D25" s="7"/>
      <c r="E25" s="7"/>
    </row>
    <row r="26" spans="1:5" ht="19.95" customHeight="1" x14ac:dyDescent="0.3">
      <c r="A26" s="6"/>
      <c r="B26" s="6"/>
      <c r="C26" s="6"/>
      <c r="D26" s="6"/>
      <c r="E26" s="6"/>
    </row>
    <row r="27" spans="1:5" ht="19.95" customHeight="1" x14ac:dyDescent="0.3">
      <c r="A27" s="7"/>
      <c r="B27" s="7"/>
      <c r="C27" s="7"/>
      <c r="D27" s="7"/>
      <c r="E27" s="7"/>
    </row>
    <row r="28" spans="1:5" ht="19.95" customHeight="1" x14ac:dyDescent="0.3">
      <c r="A28" s="6"/>
      <c r="B28" s="6"/>
      <c r="C28" s="6"/>
      <c r="D28" s="6"/>
      <c r="E28" s="6"/>
    </row>
    <row r="29" spans="1:5" ht="19.95" customHeight="1" x14ac:dyDescent="0.3">
      <c r="A29" s="7"/>
      <c r="B29" s="7"/>
      <c r="C29" s="7"/>
      <c r="D29" s="7"/>
      <c r="E29" s="7"/>
    </row>
    <row r="30" spans="1:5" ht="19.95" customHeight="1" x14ac:dyDescent="0.3">
      <c r="A30" s="6"/>
      <c r="B30" s="6"/>
      <c r="C30" s="6"/>
      <c r="D30" s="6"/>
      <c r="E30" s="6"/>
    </row>
  </sheetData>
  <mergeCells count="1">
    <mergeCell ref="A1:E1"/>
  </mergeCells>
  <dataValidations count="1">
    <dataValidation type="list" allowBlank="1" sqref="C4 C5 C6 C7 C8 C9 C10 C11 C12 C13 C14 C15 C16 C17 C18 C19 C20 C21 C22 C23 C24 C25 C26 C27 C28 C29 C30" xr:uid="{00000000-0002-0000-0400-000000000000}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HOW TO USE</vt:lpstr>
      <vt:lpstr>KPIs</vt:lpstr>
      <vt:lpstr>Outcomes</vt:lpstr>
      <vt:lpstr>Activities</vt:lpstr>
      <vt:lpstr>Risks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Special Package</cp:lastModifiedBy>
  <dcterms:created xsi:type="dcterms:W3CDTF">2026-06-02T05:46:29Z</dcterms:created>
  <dcterms:modified xsi:type="dcterms:W3CDTF">2026-08-31T10:28:49Z</dcterms:modified>
</cp:coreProperties>
</file>